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Deloitte_Tableau_Files_Pack\"/>
    </mc:Choice>
  </mc:AlternateContent>
  <xr:revisionPtr revIDLastSave="0" documentId="13_ncr:1_{6447795C-1097-49B9-8F6E-547984410D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Summary" sheetId="1" r:id="rId1"/>
    <sheet name="Equality Tabl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I17" i="2"/>
  <c r="I16" i="2"/>
  <c r="I15" i="2"/>
  <c r="D9" i="1" s="1"/>
  <c r="I14" i="2"/>
  <c r="I13" i="2"/>
  <c r="I12" i="2"/>
  <c r="I11" i="2"/>
  <c r="I10" i="2"/>
  <c r="I9" i="2"/>
  <c r="I8" i="2"/>
  <c r="I7" i="2"/>
  <c r="I6" i="2"/>
  <c r="I5" i="2"/>
  <c r="I4" i="2"/>
  <c r="I3" i="2"/>
  <c r="I2" i="2"/>
  <c r="D8" i="1"/>
  <c r="D7" i="1" l="1"/>
  <c r="E7" i="1" s="1"/>
</calcChain>
</file>

<file path=xl/sharedStrings.xml><?xml version="1.0" encoding="utf-8"?>
<sst xmlns="http://schemas.openxmlformats.org/spreadsheetml/2006/main" count="93" uniqueCount="53">
  <si>
    <t>Classification Tier</t>
  </si>
  <si>
    <t>Equality Score Range</t>
  </si>
  <si>
    <t>Criteria / Tolerance</t>
  </si>
  <si>
    <t>Employee Count</t>
  </si>
  <si>
    <t>% of Total Workforce</t>
  </si>
  <si>
    <t>Action Required</t>
  </si>
  <si>
    <t>Fair</t>
  </si>
  <si>
    <t>-10 to +10</t>
  </si>
  <si>
    <t>Standard Operational Tolerance</t>
  </si>
  <si>
    <t>Maintain ongoing tracking</t>
  </si>
  <si>
    <t>Unfair</t>
  </si>
  <si>
    <t>-19 to -11 OR +11 to +19</t>
  </si>
  <si>
    <t>Moderate Disparity Range</t>
  </si>
  <si>
    <t>Review in next annual cycle</t>
  </si>
  <si>
    <t>Highly Discriminative</t>
  </si>
  <si>
    <t>&lt;= -20 OR &gt;= +20</t>
  </si>
  <si>
    <t>Severe Outlier Disparity</t>
  </si>
  <si>
    <t>Immediate executive salary audit</t>
  </si>
  <si>
    <t>Employee ID</t>
  </si>
  <si>
    <t>Factory Location</t>
  </si>
  <si>
    <t>Department</t>
  </si>
  <si>
    <t>Job Role</t>
  </si>
  <si>
    <t>Gender</t>
  </si>
  <si>
    <t>Years of Experience</t>
  </si>
  <si>
    <t>Base Salary (USD)</t>
  </si>
  <si>
    <t>Equality Score</t>
  </si>
  <si>
    <t>Equality Class</t>
  </si>
  <si>
    <t>Meiyo (Tokyo)</t>
  </si>
  <si>
    <t>Executive</t>
  </si>
  <si>
    <t>C-Level Executive</t>
  </si>
  <si>
    <t>Female</t>
  </si>
  <si>
    <t>Operations</t>
  </si>
  <si>
    <t>Senior Manager</t>
  </si>
  <si>
    <t>Engineering</t>
  </si>
  <si>
    <t>Lead Engineer</t>
  </si>
  <si>
    <t>Male</t>
  </si>
  <si>
    <t>Junior Engineer</t>
  </si>
  <si>
    <t>Seiko (Osaka)</t>
  </si>
  <si>
    <t>VP of Operations</t>
  </si>
  <si>
    <t>Assembly</t>
  </si>
  <si>
    <t>Shop Floor Supervisor</t>
  </si>
  <si>
    <t>Machine Operator</t>
  </si>
  <si>
    <t>Berlin</t>
  </si>
  <si>
    <t>Regional Director</t>
  </si>
  <si>
    <t>Maintenance</t>
  </si>
  <si>
    <t>Senior Technician</t>
  </si>
  <si>
    <t>Field Technician</t>
  </si>
  <si>
    <t>Shenzhen</t>
  </si>
  <si>
    <t>Plant General Manager</t>
  </si>
  <si>
    <t>Senior Quality Engineer</t>
  </si>
  <si>
    <t>Assembly Technician</t>
  </si>
  <si>
    <t xml:space="preserve">                                                                                                                                                         Audit Classification Breakdown</t>
  </si>
  <si>
    <t xml:space="preserve">                                                                                                         DAIKIBO INDUSTRIALS - FORENSIC PAY EQUALITY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</si>
</sst>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"/>
    <numFmt numFmtId="166" formatCode="0.0%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6"/>
      <color rgb="FF0F2027"/>
      <name val="Calibri"/>
    </font>
    <font>
      <i/>
      <sz val="11"/>
      <color rgb="FF555555"/>
      <name val="Calibri"/>
    </font>
    <font>
      <b/>
      <sz val="12"/>
      <color rgb="FF0F202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2027"/>
        <bgColor rgb="FF0F2027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center"/>
    </xf>
    <xf numFmtId="0" fontId="0" fillId="3" borderId="0" xfId="0" applyFill="1"/>
    <xf numFmtId="0" fontId="3" fillId="3" borderId="0" xfId="0" applyFont="1" applyFill="1"/>
    <xf numFmtId="0" fontId="0" fillId="4" borderId="0" xfId="0" applyFill="1"/>
  </cellXfs>
  <cellStyles count="1">
    <cellStyle name="Normal" xfId="0" builtinId="0"/>
  </cellStyles>
  <dxfs count="3">
    <dxf>
      <font>
        <b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color rgb="FFC00000"/>
        <name val="Calibri"/>
      </font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14" sqref="A14"/>
    </sheetView>
  </sheetViews>
  <sheetFormatPr defaultRowHeight="14.4"/>
  <cols>
    <col min="1" max="1" width="51" customWidth="1"/>
    <col min="2" max="2" width="29.77734375" customWidth="1"/>
    <col min="3" max="3" width="38.21875" customWidth="1"/>
    <col min="4" max="4" width="28.21875" customWidth="1"/>
    <col min="5" max="5" width="18.88671875" bestFit="1" customWidth="1"/>
    <col min="6" max="6" width="42" customWidth="1"/>
  </cols>
  <sheetData>
    <row r="1" spans="1:6" ht="21">
      <c r="A1" s="10" t="s">
        <v>52</v>
      </c>
      <c r="B1" s="9"/>
      <c r="C1" s="9"/>
      <c r="D1" s="9"/>
      <c r="E1" s="9"/>
      <c r="F1" s="9"/>
    </row>
    <row r="2" spans="1:6">
      <c r="A2" s="1"/>
    </row>
    <row r="4" spans="1:6" ht="15.6">
      <c r="A4" s="2" t="s">
        <v>51</v>
      </c>
      <c r="C4" s="9"/>
      <c r="D4" s="11"/>
    </row>
    <row r="6" spans="1:6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</row>
    <row r="7" spans="1:6">
      <c r="A7" s="4" t="s">
        <v>6</v>
      </c>
      <c r="B7" s="4" t="s">
        <v>7</v>
      </c>
      <c r="C7" s="4" t="s">
        <v>8</v>
      </c>
      <c r="D7" s="4">
        <f>COUNTIF('Equality Table Data'!I2:I17, "Fair")</f>
        <v>9</v>
      </c>
      <c r="E7" s="8">
        <f>D7/COUNTA('Equality Table Data'!I2:I17)</f>
        <v>0.5625</v>
      </c>
      <c r="F7" s="4" t="s">
        <v>9</v>
      </c>
    </row>
    <row r="8" spans="1:6">
      <c r="A8" s="4" t="s">
        <v>10</v>
      </c>
      <c r="B8" s="4" t="s">
        <v>11</v>
      </c>
      <c r="C8" s="4" t="s">
        <v>12</v>
      </c>
      <c r="D8" s="4">
        <f>COUNTIF('Equality Table Data'!I2:I17, "Unfair")</f>
        <v>2</v>
      </c>
      <c r="E8" s="8">
        <f>D8/COUNTA('Equality Table Data'!I2:I17)</f>
        <v>0.125</v>
      </c>
      <c r="F8" s="4" t="s">
        <v>13</v>
      </c>
    </row>
    <row r="9" spans="1:6">
      <c r="A9" s="4" t="s">
        <v>14</v>
      </c>
      <c r="B9" s="4" t="s">
        <v>15</v>
      </c>
      <c r="C9" s="4" t="s">
        <v>16</v>
      </c>
      <c r="D9" s="4">
        <f>COUNTIF('Equality Table Data'!I2:I17, "Highly Discriminative")</f>
        <v>5</v>
      </c>
      <c r="E9" s="8">
        <f>D9/COUNTA('Equality Table Data'!I2:I17)</f>
        <v>0.3125</v>
      </c>
      <c r="F9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/>
  </sheetViews>
  <sheetFormatPr defaultRowHeight="14.4"/>
  <cols>
    <col min="1" max="1" width="15" customWidth="1"/>
    <col min="2" max="2" width="20" customWidth="1"/>
    <col min="3" max="3" width="15" customWidth="1"/>
    <col min="4" max="4" width="27" customWidth="1"/>
    <col min="5" max="5" width="14" customWidth="1"/>
    <col min="6" max="6" width="23" customWidth="1"/>
    <col min="7" max="7" width="21" customWidth="1"/>
    <col min="8" max="8" width="18" customWidth="1"/>
    <col min="9" max="9" width="101" customWidth="1"/>
  </cols>
  <sheetData>
    <row r="1" spans="1:9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</row>
    <row r="2" spans="1:9">
      <c r="A2" s="4">
        <v>1001</v>
      </c>
      <c r="B2" s="5" t="s">
        <v>27</v>
      </c>
      <c r="C2" s="5" t="s">
        <v>28</v>
      </c>
      <c r="D2" s="5" t="s">
        <v>29</v>
      </c>
      <c r="E2" s="4" t="s">
        <v>30</v>
      </c>
      <c r="F2" s="4">
        <v>18</v>
      </c>
      <c r="G2" s="6">
        <v>220000</v>
      </c>
      <c r="H2" s="7">
        <v>-31.5</v>
      </c>
      <c r="I2" s="4" t="str">
        <f t="shared" ref="I2:I17" si="0">IF(AND(H2&gt;=-10, H2&lt;=10), "Fair", IF(OR(H2&lt;=-20, H2&gt;=20), "Highly Discriminative", "Unfair"))</f>
        <v>Highly Discriminative</v>
      </c>
    </row>
    <row r="3" spans="1:9">
      <c r="A3" s="4">
        <v>1002</v>
      </c>
      <c r="B3" s="5" t="s">
        <v>27</v>
      </c>
      <c r="C3" s="5" t="s">
        <v>31</v>
      </c>
      <c r="D3" s="5" t="s">
        <v>32</v>
      </c>
      <c r="E3" s="4" t="s">
        <v>30</v>
      </c>
      <c r="F3" s="4">
        <v>14</v>
      </c>
      <c r="G3" s="6">
        <v>135000</v>
      </c>
      <c r="H3" s="7">
        <v>-22.4</v>
      </c>
      <c r="I3" s="4" t="str">
        <f t="shared" si="0"/>
        <v>Highly Discriminative</v>
      </c>
    </row>
    <row r="4" spans="1:9">
      <c r="A4" s="4">
        <v>1003</v>
      </c>
      <c r="B4" s="5" t="s">
        <v>27</v>
      </c>
      <c r="C4" s="5" t="s">
        <v>33</v>
      </c>
      <c r="D4" s="5" t="s">
        <v>34</v>
      </c>
      <c r="E4" s="4" t="s">
        <v>35</v>
      </c>
      <c r="F4" s="4">
        <v>9</v>
      </c>
      <c r="G4" s="6">
        <v>92000</v>
      </c>
      <c r="H4" s="7">
        <v>-5.2</v>
      </c>
      <c r="I4" s="4" t="str">
        <f t="shared" si="0"/>
        <v>Fair</v>
      </c>
    </row>
    <row r="5" spans="1:9">
      <c r="A5" s="4">
        <v>1004</v>
      </c>
      <c r="B5" s="5" t="s">
        <v>27</v>
      </c>
      <c r="C5" s="5" t="s">
        <v>33</v>
      </c>
      <c r="D5" s="5" t="s">
        <v>36</v>
      </c>
      <c r="E5" s="4" t="s">
        <v>35</v>
      </c>
      <c r="F5" s="4">
        <v>2</v>
      </c>
      <c r="G5" s="6">
        <v>62000</v>
      </c>
      <c r="H5" s="7">
        <v>3.8</v>
      </c>
      <c r="I5" s="4" t="str">
        <f t="shared" si="0"/>
        <v>Fair</v>
      </c>
    </row>
    <row r="6" spans="1:9">
      <c r="A6" s="4">
        <v>1005</v>
      </c>
      <c r="B6" s="5" t="s">
        <v>37</v>
      </c>
      <c r="C6" s="5" t="s">
        <v>28</v>
      </c>
      <c r="D6" s="5" t="s">
        <v>38</v>
      </c>
      <c r="E6" s="4" t="s">
        <v>30</v>
      </c>
      <c r="F6" s="4">
        <v>16</v>
      </c>
      <c r="G6" s="6">
        <v>195000</v>
      </c>
      <c r="H6" s="7">
        <v>-28</v>
      </c>
      <c r="I6" s="4" t="str">
        <f t="shared" si="0"/>
        <v>Highly Discriminative</v>
      </c>
    </row>
    <row r="7" spans="1:9">
      <c r="A7" s="4">
        <v>1006</v>
      </c>
      <c r="B7" s="5" t="s">
        <v>37</v>
      </c>
      <c r="C7" s="5" t="s">
        <v>33</v>
      </c>
      <c r="D7" s="5" t="s">
        <v>32</v>
      </c>
      <c r="E7" s="4" t="s">
        <v>30</v>
      </c>
      <c r="F7" s="4">
        <v>12</v>
      </c>
      <c r="G7" s="6">
        <v>128000</v>
      </c>
      <c r="H7" s="7">
        <v>-21.1</v>
      </c>
      <c r="I7" s="4" t="str">
        <f t="shared" si="0"/>
        <v>Highly Discriminative</v>
      </c>
    </row>
    <row r="8" spans="1:9">
      <c r="A8" s="4">
        <v>1007</v>
      </c>
      <c r="B8" s="5" t="s">
        <v>37</v>
      </c>
      <c r="C8" s="5" t="s">
        <v>39</v>
      </c>
      <c r="D8" s="5" t="s">
        <v>40</v>
      </c>
      <c r="E8" s="4" t="s">
        <v>35</v>
      </c>
      <c r="F8" s="4">
        <v>8</v>
      </c>
      <c r="G8" s="6">
        <v>74000</v>
      </c>
      <c r="H8" s="7">
        <v>-12.5</v>
      </c>
      <c r="I8" s="4" t="str">
        <f t="shared" si="0"/>
        <v>Unfair</v>
      </c>
    </row>
    <row r="9" spans="1:9">
      <c r="A9" s="4">
        <v>1008</v>
      </c>
      <c r="B9" s="5" t="s">
        <v>37</v>
      </c>
      <c r="C9" s="5" t="s">
        <v>39</v>
      </c>
      <c r="D9" s="5" t="s">
        <v>41</v>
      </c>
      <c r="E9" s="4" t="s">
        <v>35</v>
      </c>
      <c r="F9" s="4">
        <v>4</v>
      </c>
      <c r="G9" s="6">
        <v>48000</v>
      </c>
      <c r="H9" s="7">
        <v>1.2</v>
      </c>
      <c r="I9" s="4" t="str">
        <f t="shared" si="0"/>
        <v>Fair</v>
      </c>
    </row>
    <row r="10" spans="1:9">
      <c r="A10" s="4">
        <v>1009</v>
      </c>
      <c r="B10" s="5" t="s">
        <v>42</v>
      </c>
      <c r="C10" s="5" t="s">
        <v>31</v>
      </c>
      <c r="D10" s="5" t="s">
        <v>43</v>
      </c>
      <c r="E10" s="4" t="s">
        <v>30</v>
      </c>
      <c r="F10" s="4">
        <v>15</v>
      </c>
      <c r="G10" s="6">
        <v>175000</v>
      </c>
      <c r="H10" s="7">
        <v>-18.5</v>
      </c>
      <c r="I10" s="4" t="str">
        <f t="shared" si="0"/>
        <v>Unfair</v>
      </c>
    </row>
    <row r="11" spans="1:9">
      <c r="A11" s="4">
        <v>1010</v>
      </c>
      <c r="B11" s="5" t="s">
        <v>42</v>
      </c>
      <c r="C11" s="5" t="s">
        <v>33</v>
      </c>
      <c r="D11" s="5" t="s">
        <v>34</v>
      </c>
      <c r="E11" s="4" t="s">
        <v>35</v>
      </c>
      <c r="F11" s="4">
        <v>10</v>
      </c>
      <c r="G11" s="6">
        <v>88000</v>
      </c>
      <c r="H11" s="7">
        <v>-4</v>
      </c>
      <c r="I11" s="4" t="str">
        <f t="shared" si="0"/>
        <v>Fair</v>
      </c>
    </row>
    <row r="12" spans="1:9">
      <c r="A12" s="4">
        <v>1011</v>
      </c>
      <c r="B12" s="5" t="s">
        <v>42</v>
      </c>
      <c r="C12" s="5" t="s">
        <v>44</v>
      </c>
      <c r="D12" s="5" t="s">
        <v>45</v>
      </c>
      <c r="E12" s="4" t="s">
        <v>30</v>
      </c>
      <c r="F12" s="4">
        <v>6</v>
      </c>
      <c r="G12" s="6">
        <v>58000</v>
      </c>
      <c r="H12" s="7">
        <v>-8.1</v>
      </c>
      <c r="I12" s="4" t="str">
        <f t="shared" si="0"/>
        <v>Fair</v>
      </c>
    </row>
    <row r="13" spans="1:9">
      <c r="A13" s="4">
        <v>1012</v>
      </c>
      <c r="B13" s="5" t="s">
        <v>42</v>
      </c>
      <c r="C13" s="5" t="s">
        <v>44</v>
      </c>
      <c r="D13" s="5" t="s">
        <v>46</v>
      </c>
      <c r="E13" s="4" t="s">
        <v>35</v>
      </c>
      <c r="F13" s="4">
        <v>3</v>
      </c>
      <c r="G13" s="6">
        <v>51000</v>
      </c>
      <c r="H13" s="7">
        <v>2.4</v>
      </c>
      <c r="I13" s="4" t="str">
        <f t="shared" si="0"/>
        <v>Fair</v>
      </c>
    </row>
    <row r="14" spans="1:9">
      <c r="A14" s="4">
        <v>1013</v>
      </c>
      <c r="B14" s="5" t="s">
        <v>47</v>
      </c>
      <c r="C14" s="5" t="s">
        <v>31</v>
      </c>
      <c r="D14" s="5" t="s">
        <v>48</v>
      </c>
      <c r="E14" s="4" t="s">
        <v>30</v>
      </c>
      <c r="F14" s="4">
        <v>17</v>
      </c>
      <c r="G14" s="6">
        <v>160000</v>
      </c>
      <c r="H14" s="7">
        <v>-25.8</v>
      </c>
      <c r="I14" s="4" t="str">
        <f t="shared" si="0"/>
        <v>Highly Discriminative</v>
      </c>
    </row>
    <row r="15" spans="1:9">
      <c r="A15" s="4">
        <v>1014</v>
      </c>
      <c r="B15" s="5" t="s">
        <v>47</v>
      </c>
      <c r="C15" s="5" t="s">
        <v>33</v>
      </c>
      <c r="D15" s="5" t="s">
        <v>49</v>
      </c>
      <c r="E15" s="4" t="s">
        <v>35</v>
      </c>
      <c r="F15" s="4">
        <v>7</v>
      </c>
      <c r="G15" s="6">
        <v>72000</v>
      </c>
      <c r="H15" s="7">
        <v>4.5</v>
      </c>
      <c r="I15" s="4" t="str">
        <f t="shared" si="0"/>
        <v>Fair</v>
      </c>
    </row>
    <row r="16" spans="1:9">
      <c r="A16" s="4">
        <v>1015</v>
      </c>
      <c r="B16" s="5" t="s">
        <v>47</v>
      </c>
      <c r="C16" s="5" t="s">
        <v>39</v>
      </c>
      <c r="D16" s="5" t="s">
        <v>50</v>
      </c>
      <c r="E16" s="4" t="s">
        <v>30</v>
      </c>
      <c r="F16" s="4">
        <v>4</v>
      </c>
      <c r="G16" s="6">
        <v>46000</v>
      </c>
      <c r="H16" s="7">
        <v>-3.2</v>
      </c>
      <c r="I16" s="4" t="str">
        <f t="shared" si="0"/>
        <v>Fair</v>
      </c>
    </row>
    <row r="17" spans="1:9">
      <c r="A17" s="4">
        <v>1016</v>
      </c>
      <c r="B17" s="5" t="s">
        <v>47</v>
      </c>
      <c r="C17" s="5" t="s">
        <v>39</v>
      </c>
      <c r="D17" s="5" t="s">
        <v>41</v>
      </c>
      <c r="E17" s="4" t="s">
        <v>35</v>
      </c>
      <c r="F17" s="4">
        <v>2</v>
      </c>
      <c r="G17" s="6">
        <v>42000</v>
      </c>
      <c r="H17" s="7">
        <v>0.8</v>
      </c>
      <c r="I17" s="4" t="str">
        <f t="shared" si="0"/>
        <v>Fair</v>
      </c>
    </row>
  </sheetData>
  <conditionalFormatting sqref="I2:I17">
    <cfRule type="cellIs" dxfId="2" priority="1" operator="equal">
      <formula>"Highly Discriminative"</formula>
    </cfRule>
    <cfRule type="cellIs" dxfId="1" priority="2" operator="equal">
      <formula>"Unfair"</formula>
    </cfRule>
    <cfRule type="cellIs" dxfId="0" priority="3" operator="equal">
      <formula>"Fair"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Equality 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patil</cp:lastModifiedBy>
  <dcterms:created xsi:type="dcterms:W3CDTF">2026-08-15T14:02:43Z</dcterms:created>
  <dcterms:modified xsi:type="dcterms:W3CDTF">2026-08-15T14:16:17Z</dcterms:modified>
</cp:coreProperties>
</file>